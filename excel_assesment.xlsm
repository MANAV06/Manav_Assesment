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51196F13-6AD0-C1B8-E2B4-A1F9AE17003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E4C4BE73-9652-449D-B4E4-71660766FD88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8" l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30" i="18" s="1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30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30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9" i="18" s="1"/>
  <c r="B6" i="18"/>
  <c r="B29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2" i="19"/>
  <c r="H41" i="1"/>
  <c r="D29" i="18" l="1"/>
  <c r="B28" i="18"/>
  <c r="E29" i="18"/>
  <c r="C28" i="18"/>
  <c r="F29" i="18"/>
  <c r="D28" i="18"/>
  <c r="B30" i="18"/>
  <c r="E28" i="18"/>
  <c r="C30" i="18"/>
  <c r="F28" i="18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<sst xmlns="http://schemas.openxmlformats.org/spreadsheetml/2006/main" count="405" uniqueCount="182">
  <si>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</si>
  <si>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</si>
  <si>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</si>
  <si>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</si>
  <si>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</si>
  <si>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</si>
  <si>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</si>
  <si>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</si>
  <si>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</si>
  <si>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</si>
  <si>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</si>
  <si>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</si>
  <si>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</si>
  <si>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</si>
  <si>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</si>
  <si>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</si>
  <si>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</si>
  <si>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</si>
  <si>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</si>
  <si>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</si>
  <si>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</si>
  <si>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</si>
  <si>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</si>
  <si>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</si>
  <si>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</si>
  <si>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</si>
  <si>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</si>
  <si>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</si>
  <si>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</si>
  <si>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</si>
  <si>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</si>
  <si>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</si>
  <si>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</si>
  <si>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</si>
  <si>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</si>
  <si>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</si>
  <si>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</si>
  <si>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</si>
  <si>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</si>
  <si>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</si>
  <si>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</si>
  <si>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</si>
  <si>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</si>
  <si>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</si>
  <si>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</si>
  <si>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</si>
  <si>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</si>
  <si>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</si>
  <si>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</si>
  <si>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</si>
  <si>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</si>
  <si>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</si>
  <si>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</si>
  <si>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</si>
  <si>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</si>
  <si>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</si>
  <si>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</si>
  <si>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</si>
  <si>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</si>
  <si>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</si>
  <si>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</si>
  <si>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</si>
  <si>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</si>
  <si>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</si>
  <si>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</si>
  <si>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</si>
  <si>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</si>
  <si>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</si>
  <si>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</si>
  <si>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</si>
  <si>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</si>
  <si>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</si>
  <si>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</si>
  <si>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</si>
  <si>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</si>
  <si>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</si>
  <si>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</si>
  <si>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</si>
  <si>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</si>
  <si>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</si>
  <si>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</si>
  <si>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</si>
  <si>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</si>
  <si>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</si>
  <si>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</si>
  <si>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</si>
  <si>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</si>
  <si>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</si>
  <si>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</si>
  <si>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</si>
  <si>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</si>
  <si>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</si>
  <si>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</si>
  <si>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</si>
  <si>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</si>
  <si>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</si>
  <si>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</si>
  <si>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</si>
  <si>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</si>
  <si>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</si>
  <si>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</si>
  <si>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</si>
  <si>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</si>
  <si>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</si>
  <si>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</si>
  <si>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</si>
  <si>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</si>
  <si>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</si>
  <si>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</si>
  <si>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</si>
  <si>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</si>
  <si>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</si>
  <si>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</si>
  <si>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</si>
  <si>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</si>
  <si>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</si>
  <si>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</si>
  <si>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</si>
  <si>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</si>
  <si>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</si>
  <si>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</si>
  <si>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</si>
  <si>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</si>
  <si>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</si>
  <si>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</si>
  <si>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</si>
  <si>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</si>
  <si>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</si>
  <si>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</si>
  <si>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</si>
  <si>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</si>
  <si>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</si>
  <si>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</si>
  <si>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</si>
  <si>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</si>
  <si>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</si>
  <si>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</si>
  <si>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</si>
  <si>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</si>
  <si>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</si>
  <si>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</si>
  <si>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</si>
  <si>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</si>
  <si>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</si>
  <si>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</si>
  <si>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</si>
  <si>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</si>
  <si>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</si>
  <si>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</si>
  <si>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</si>
  <si>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</si>
  <si>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</si>
  <si>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</si>
  <si>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</si>
  <si>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</si>
  <si>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</si>
  <si>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</si>
  <si>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</si>
  <si>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</si>
  <si>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</si>
  <si>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</si>
  <si>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</si>
  <si>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</si>
  <si>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</si>
  <si>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</si>
  <si>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</si>
  <si>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</si>
  <si>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</si>
  <si>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</si>
  <si>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</si>
  <si>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</si>
  <si>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</si>
  <si>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</si>
  <si>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</si>
  <si>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</si>
  <si>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</si>
  <si>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=SUMPRODUCT((H2:H40 &gt; 20) * H2:H40)</t>
  </si>
  <si>
    <t>All 20 values must be substituted with the value '20'</t>
  </si>
  <si>
    <t>=SUM(C12:C21)'</t>
  </si>
  <si>
    <t>SUM: This is an Excel function that adds up a range of numbers. It takes one or more arguments, which can be individual numbers, cell references, or ranges.
C12:C21: This is the range of cells from C12 to C21. The colon (:) between C12 and C21 indicates a range in Excel. So, it includes all the values in the Sales column from cell C12 to C21.</t>
  </si>
  <si>
    <t>I used 'Text to Columns' functionality under the 'Data' Tab, then described my Delimiter and destination and clicked on Finish to get the result.</t>
  </si>
  <si>
    <t xml:space="preserve"> "Text to Columns" functionality in Excel, found under the "Data" tab, is a tool that allows us to split the contents of a cell or a range of cells based on a specified delimiter.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</si>
</sst>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quotePrefix="1" applyFont="1"/>
    <xf numFmtId="0" fontId="3" fillId="0" borderId="7" xfId="0" applyFont="1" applyBorder="1" applyAlignment="1">
      <alignment wrapText="1"/>
    </xf>
    <xf numFmtId="0" fontId="18" fillId="0" borderId="0" xfId="0" applyFont="1"/>
    <xf numFmtId="0" fontId="15" fillId="0" borderId="0" xfId="0" applyFont="1"/>
    <xf numFmtId="0" fontId="3" fillId="0" borderId="0" xfId="0" applyFont="1" applyAlignment="1">
      <alignment wrapText="1"/>
    </xf>
    <xf numFmtId="0" fontId="3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2000000}"/>
    <cellStyle name="Normal 2 3" xfId="7" xr:uid="{00000000-0005-0000-0000-000003000000}"/>
    <cellStyle name="Normal 3" xfId="2" xr:uid="{00000000-0005-0000-0000-000004000000}"/>
    <cellStyle name="Normal 3 2" xfId="8" xr:uid="{00000000-0005-0000-0000-000005000000}"/>
    <cellStyle name="Normal 4" xfId="4" xr:uid="{00000000-0005-0000-0000-000006000000}"/>
    <cellStyle name="Normal 5" xfId="5" xr:uid="{00000000-0005-0000-0000-000007000000}"/>
    <cellStyle name="Normal 5 2" xfId="6" xr:uid="{00000000-0005-0000-0000-000008000000}"/>
    <cellStyle name="Normal 5 3" xfId="10" xr:uid="{00000000-0005-0000-0000-000009000000}"/>
    <cellStyle name="Normal 7" xfId="9" xr:uid="{00000000-0005-0000-0000-00000A000000}"/>
  </cellStyles>
  <dxfs count="11">
    <dxf>
      <font>
        <color rgb="FFFF0000"/>
      </font>
      <fill>
        <patternFill patternType="none">
          <bgColor auto="1"/>
        </patternFill>
      </fill>
      <border>
        <vertical/>
        <horizontal/>
      </border>
    </dxf>
    <dxf>
      <font>
        <color rgb="FF00B050"/>
      </font>
      <fill>
        <patternFill patternType="none">
          <bgColor auto="1"/>
        </patternFill>
      </fill>
      <border>
        <vertical/>
        <horizontal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00B050"/>
      </font>
      <fill>
        <patternFill patternType="none">
          <bgColor auto="1"/>
        </patternFill>
      </fill>
      <border>
        <vertical/>
        <horizontal/>
      </border>
    </dxf>
    <dxf>
      <font>
        <color rgb="FFFF0000"/>
      </font>
      <fill>
        <patternFill patternType="none">
          <bgColor auto="1"/>
        </patternFill>
      </fill>
      <border>
        <vertical/>
        <horizontal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41"/>
  <sheetViews>
    <sheetView zoomScaleNormal="100" workbookViewId="0">
      <pane ySplit="1" topLeftCell="A2" activePane="bottomLeft" state="frozen"/>
      <selection pane="bottomLeft" activeCell="V1" sqref="A1:V1"/>
    </sheetView>
  </sheetViews>
  <sheetFormatPr defaultColWidth="9" defaultRowHeight="14.4" x14ac:dyDescent="0.3"/>
  <cols>
    <col min="1" max="1" width="25.33203125" style="1" bestFit="1" customWidth="1"/>
    <col min="2" max="2" width="7.33203125" style="1" bestFit="1" customWidth="1"/>
    <col min="3" max="3" width="10.6640625" style="1" bestFit="1" customWidth="1"/>
    <col min="4" max="4" width="11.6640625" style="24" customWidth="1"/>
    <col min="5" max="5" width="10.44140625" style="1" customWidth="1"/>
    <col min="6" max="6" width="12.44140625" style="24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33203125" style="1" bestFit="1" customWidth="1"/>
    <col min="19" max="20" width="18.7773437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7</v>
      </c>
      <c r="B2" s="1">
        <v>20004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3.6</v>
      </c>
      <c r="H2" s="1">
        <v>5.4</v>
      </c>
      <c r="I2" s="1">
        <v>5.8</v>
      </c>
      <c r="J2" s="1">
        <v>-1</v>
      </c>
      <c r="K2" s="1">
        <v>-1</v>
      </c>
      <c r="L2" s="1">
        <v>-1</v>
      </c>
      <c r="M2" s="1">
        <v>7.6</v>
      </c>
      <c r="N2" s="1">
        <v>11.1</v>
      </c>
      <c r="O2" s="1">
        <v>12.2</v>
      </c>
      <c r="P2" s="1">
        <v>3.6</v>
      </c>
      <c r="Q2" s="1">
        <v>5.4</v>
      </c>
      <c r="R2" s="1">
        <v>5.8</v>
      </c>
      <c r="S2" s="1">
        <v>11.1</v>
      </c>
      <c r="T2" s="1">
        <v>12.2</v>
      </c>
      <c r="U2" s="1">
        <v>5.4</v>
      </c>
      <c r="V2" s="1">
        <v>5.8</v>
      </c>
      <c r="W2" s="1">
        <v>5.8</v>
      </c>
      <c r="X2" s="47">
        <v>45055</v>
      </c>
    </row>
    <row r="3" spans="1:24" x14ac:dyDescent="0.3">
      <c r="A3" s="1" t="s">
        <v>13</v>
      </c>
      <c r="B3" s="1">
        <v>20016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16.100000000000001</v>
      </c>
      <c r="H3" s="1">
        <v>24.1</v>
      </c>
      <c r="I3" s="1">
        <v>29.1</v>
      </c>
      <c r="J3" s="1">
        <v>-1</v>
      </c>
      <c r="K3" s="1">
        <v>-1</v>
      </c>
      <c r="L3" s="1">
        <v>-1</v>
      </c>
      <c r="M3" s="1">
        <v>32.799999999999997</v>
      </c>
      <c r="N3" s="1">
        <v>49</v>
      </c>
      <c r="O3" s="1">
        <v>59</v>
      </c>
      <c r="P3" s="1">
        <v>16.100000000000001</v>
      </c>
      <c r="Q3" s="1">
        <v>24.1</v>
      </c>
      <c r="R3" s="1">
        <v>29.1</v>
      </c>
      <c r="S3" s="1">
        <v>49</v>
      </c>
      <c r="T3" s="1">
        <v>59</v>
      </c>
      <c r="U3" s="1">
        <v>24.1</v>
      </c>
      <c r="V3" s="1">
        <v>29.1</v>
      </c>
      <c r="W3" s="1">
        <v>29.1</v>
      </c>
      <c r="X3" s="47">
        <v>45092</v>
      </c>
    </row>
    <row r="4" spans="1:24" x14ac:dyDescent="0.3">
      <c r="A4" s="1" t="s">
        <v>30</v>
      </c>
      <c r="B4" s="1">
        <v>20054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43.3</v>
      </c>
      <c r="H4" s="1">
        <v>63.6</v>
      </c>
      <c r="I4" s="1">
        <v>77.2</v>
      </c>
      <c r="J4" s="1">
        <v>-1</v>
      </c>
      <c r="K4" s="1">
        <v>-1</v>
      </c>
      <c r="L4" s="1">
        <v>-1</v>
      </c>
      <c r="M4" s="1">
        <v>87.6</v>
      </c>
      <c r="N4" s="1">
        <v>128.6</v>
      </c>
      <c r="O4" s="1">
        <v>156.4</v>
      </c>
      <c r="P4" s="1">
        <v>43.3</v>
      </c>
      <c r="Q4" s="1">
        <v>63.6</v>
      </c>
      <c r="R4" s="1">
        <v>77.2</v>
      </c>
      <c r="S4" s="1">
        <v>128.6</v>
      </c>
      <c r="T4" s="1">
        <v>156.4</v>
      </c>
      <c r="U4" s="1">
        <v>63.6</v>
      </c>
      <c r="V4" s="1">
        <v>77.2</v>
      </c>
      <c r="W4" s="1">
        <v>77.2</v>
      </c>
      <c r="X4" s="47">
        <v>45153</v>
      </c>
    </row>
    <row r="5" spans="1:24" x14ac:dyDescent="0.3">
      <c r="A5" s="1" t="s">
        <v>17</v>
      </c>
      <c r="B5" s="1">
        <v>20024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23.5</v>
      </c>
      <c r="H5" s="1">
        <v>34.700000000000003</v>
      </c>
      <c r="I5" s="1">
        <v>42.7</v>
      </c>
      <c r="J5" s="1">
        <v>-1</v>
      </c>
      <c r="K5" s="1">
        <v>-1</v>
      </c>
      <c r="L5" s="1">
        <v>-1</v>
      </c>
      <c r="M5" s="1">
        <v>47.7</v>
      </c>
      <c r="N5" s="1">
        <v>70.8</v>
      </c>
      <c r="O5" s="1">
        <v>86.6</v>
      </c>
      <c r="P5" s="1">
        <v>23.5</v>
      </c>
      <c r="Q5" s="1">
        <v>34.700000000000003</v>
      </c>
      <c r="R5" s="1">
        <v>42.7</v>
      </c>
      <c r="S5" s="1">
        <v>70.8</v>
      </c>
      <c r="T5" s="1">
        <v>86.6</v>
      </c>
      <c r="U5" s="1">
        <v>34.700000000000003</v>
      </c>
      <c r="V5" s="1">
        <v>42.7</v>
      </c>
      <c r="W5" s="1">
        <v>42.7</v>
      </c>
      <c r="X5" s="47">
        <v>45095</v>
      </c>
    </row>
    <row r="6" spans="1:24" x14ac:dyDescent="0.3">
      <c r="A6" s="1" t="s">
        <v>14</v>
      </c>
      <c r="B6" s="1">
        <v>20018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18.399999999999999</v>
      </c>
      <c r="H6" s="1">
        <v>27.5</v>
      </c>
      <c r="I6" s="1">
        <v>33.799999999999997</v>
      </c>
      <c r="J6" s="1">
        <v>-1</v>
      </c>
      <c r="K6" s="1">
        <v>-1</v>
      </c>
      <c r="L6" s="1">
        <v>-1</v>
      </c>
      <c r="M6" s="1">
        <v>37.200000000000003</v>
      </c>
      <c r="N6" s="1">
        <v>55.6</v>
      </c>
      <c r="O6" s="1">
        <v>67.900000000000006</v>
      </c>
      <c r="P6" s="1">
        <v>18.399999999999999</v>
      </c>
      <c r="Q6" s="1">
        <v>27.5</v>
      </c>
      <c r="R6" s="1">
        <v>33.799999999999997</v>
      </c>
      <c r="S6" s="1">
        <v>55.6</v>
      </c>
      <c r="T6" s="1">
        <v>67.900000000000006</v>
      </c>
      <c r="U6" s="1">
        <v>27.5</v>
      </c>
      <c r="V6" s="1">
        <v>33.799999999999997</v>
      </c>
      <c r="W6" s="1">
        <v>33.799999999999997</v>
      </c>
      <c r="X6" s="47">
        <v>45104</v>
      </c>
    </row>
    <row r="7" spans="1:24" x14ac:dyDescent="0.3">
      <c r="A7" s="1" t="s">
        <v>4</v>
      </c>
      <c r="B7" s="1">
        <v>20002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2.7</v>
      </c>
      <c r="H7" s="1">
        <v>3.6</v>
      </c>
      <c r="I7" s="1">
        <v>4.2</v>
      </c>
      <c r="J7" s="1">
        <v>-1</v>
      </c>
      <c r="K7" s="1">
        <v>-1</v>
      </c>
      <c r="L7" s="1">
        <v>-1</v>
      </c>
      <c r="M7" s="1">
        <v>5.3</v>
      </c>
      <c r="N7" s="1">
        <v>7.6</v>
      </c>
      <c r="O7" s="1">
        <v>8.9</v>
      </c>
      <c r="P7" s="1">
        <v>2.7</v>
      </c>
      <c r="Q7" s="1">
        <v>3.6</v>
      </c>
      <c r="R7" s="1">
        <v>4.2</v>
      </c>
      <c r="S7" s="1">
        <v>7.6</v>
      </c>
      <c r="T7" s="1">
        <v>8.9</v>
      </c>
      <c r="U7" s="1">
        <v>3.6</v>
      </c>
      <c r="V7" s="1">
        <v>4.2</v>
      </c>
      <c r="W7" s="1">
        <v>4.2</v>
      </c>
      <c r="X7" s="47">
        <v>45048</v>
      </c>
    </row>
    <row r="8" spans="1:24" x14ac:dyDescent="0.3">
      <c r="A8" s="1" t="s">
        <v>18</v>
      </c>
      <c r="B8" s="1">
        <v>20026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26.8</v>
      </c>
      <c r="H8" s="1">
        <v>39.299999999999997</v>
      </c>
      <c r="I8" s="1">
        <v>47.9</v>
      </c>
      <c r="J8" s="1">
        <v>-1</v>
      </c>
      <c r="K8" s="1">
        <v>-1</v>
      </c>
      <c r="L8" s="1">
        <v>-1</v>
      </c>
      <c r="M8" s="1">
        <v>54.6</v>
      </c>
      <c r="N8" s="1">
        <v>79.599999999999994</v>
      </c>
      <c r="O8" s="1">
        <v>96.8</v>
      </c>
      <c r="P8" s="1">
        <v>26.8</v>
      </c>
      <c r="Q8" s="1">
        <v>39.299999999999997</v>
      </c>
      <c r="R8" s="1">
        <v>47.9</v>
      </c>
      <c r="S8" s="1">
        <v>79.599999999999994</v>
      </c>
      <c r="T8" s="1">
        <v>96.8</v>
      </c>
      <c r="U8" s="1">
        <v>39.299999999999997</v>
      </c>
      <c r="V8" s="1">
        <v>47.9</v>
      </c>
      <c r="W8" s="1">
        <v>47.9</v>
      </c>
      <c r="X8" s="47">
        <v>45113</v>
      </c>
    </row>
    <row r="9" spans="1:24" x14ac:dyDescent="0.3">
      <c r="A9" s="1" t="s">
        <v>11</v>
      </c>
      <c r="B9" s="1">
        <v>20012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9.4</v>
      </c>
      <c r="H9" s="1">
        <v>13.8</v>
      </c>
      <c r="I9" s="1">
        <v>16.100000000000001</v>
      </c>
      <c r="J9" s="1">
        <v>-1</v>
      </c>
      <c r="K9" s="1">
        <v>-1</v>
      </c>
      <c r="L9" s="1">
        <v>-1</v>
      </c>
      <c r="M9" s="1">
        <v>19.2</v>
      </c>
      <c r="N9" s="1">
        <v>28.3</v>
      </c>
      <c r="O9" s="1">
        <v>32.799999999999997</v>
      </c>
      <c r="P9" s="1">
        <v>9.4</v>
      </c>
      <c r="Q9" s="1">
        <v>13.8</v>
      </c>
      <c r="R9" s="1">
        <v>16.100000000000001</v>
      </c>
      <c r="S9" s="1">
        <v>28.3</v>
      </c>
      <c r="T9" s="1">
        <v>32.799999999999997</v>
      </c>
      <c r="U9" s="1">
        <v>13.8</v>
      </c>
      <c r="V9" s="1">
        <v>16.100000000000001</v>
      </c>
      <c r="W9" s="1">
        <v>16.100000000000001</v>
      </c>
      <c r="X9" s="47">
        <v>45052</v>
      </c>
    </row>
    <row r="10" spans="1:24" x14ac:dyDescent="0.3">
      <c r="A10" s="1" t="s">
        <v>25</v>
      </c>
      <c r="B10" s="1">
        <v>20040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36.5</v>
      </c>
      <c r="H10" s="1">
        <v>54.6</v>
      </c>
      <c r="I10" s="1">
        <v>65.900000000000006</v>
      </c>
      <c r="J10" s="1">
        <v>-1</v>
      </c>
      <c r="K10" s="1">
        <v>-1</v>
      </c>
      <c r="L10" s="1">
        <v>-1</v>
      </c>
      <c r="M10" s="1">
        <v>73.900000000000006</v>
      </c>
      <c r="N10" s="1">
        <v>110.3</v>
      </c>
      <c r="O10" s="1">
        <v>133.4</v>
      </c>
      <c r="P10" s="1">
        <v>36.5</v>
      </c>
      <c r="Q10" s="1">
        <v>54.6</v>
      </c>
      <c r="R10" s="1">
        <v>65.900000000000006</v>
      </c>
      <c r="S10" s="1">
        <v>110.3</v>
      </c>
      <c r="T10" s="1">
        <v>133.4</v>
      </c>
      <c r="U10" s="1">
        <v>54.6</v>
      </c>
      <c r="V10" s="1">
        <v>65.900000000000006</v>
      </c>
      <c r="W10" s="1">
        <v>65.900000000000006</v>
      </c>
      <c r="X10" s="47">
        <v>45075</v>
      </c>
    </row>
    <row r="11" spans="1:24" x14ac:dyDescent="0.3">
      <c r="A11" s="1" t="s">
        <v>15</v>
      </c>
      <c r="B11" s="1">
        <v>20020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47">
        <v>45116</v>
      </c>
    </row>
    <row r="12" spans="1:24" x14ac:dyDescent="0.3">
      <c r="A12" s="1" t="s">
        <v>28</v>
      </c>
      <c r="B12" s="1">
        <v>20048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45142</v>
      </c>
    </row>
    <row r="13" spans="1:24" x14ac:dyDescent="0.3">
      <c r="A13" s="1" t="s">
        <v>19</v>
      </c>
      <c r="B13" s="1">
        <v>20028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28</v>
      </c>
      <c r="H13" s="1">
        <v>41</v>
      </c>
      <c r="I13" s="1">
        <v>50.1</v>
      </c>
      <c r="J13" s="1">
        <v>-1</v>
      </c>
      <c r="K13" s="1">
        <v>-1</v>
      </c>
      <c r="L13" s="1">
        <v>-1</v>
      </c>
      <c r="M13" s="1">
        <v>56.7</v>
      </c>
      <c r="N13" s="1">
        <v>83.2</v>
      </c>
      <c r="O13" s="1">
        <v>101.3</v>
      </c>
      <c r="P13" s="1">
        <v>28</v>
      </c>
      <c r="Q13" s="1">
        <v>41</v>
      </c>
      <c r="R13" s="1">
        <v>50.1</v>
      </c>
      <c r="S13" s="1">
        <v>83.2</v>
      </c>
      <c r="T13" s="1">
        <v>101.3</v>
      </c>
      <c r="U13" s="1">
        <v>41</v>
      </c>
      <c r="V13" s="1">
        <v>50.1</v>
      </c>
      <c r="W13" s="1">
        <v>50.1</v>
      </c>
      <c r="X13" s="47">
        <v>45063</v>
      </c>
    </row>
    <row r="14" spans="1:24" x14ac:dyDescent="0.3">
      <c r="A14" s="1" t="s">
        <v>21</v>
      </c>
      <c r="B14" s="1">
        <v>20032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29.1</v>
      </c>
      <c r="H14" s="1">
        <v>43.3</v>
      </c>
      <c r="I14" s="1">
        <v>53.7</v>
      </c>
      <c r="J14" s="1">
        <v>-1</v>
      </c>
      <c r="K14" s="1">
        <v>-1</v>
      </c>
      <c r="L14" s="1">
        <v>-1</v>
      </c>
      <c r="M14" s="1">
        <v>59</v>
      </c>
      <c r="N14" s="1">
        <v>87.6</v>
      </c>
      <c r="O14" s="1">
        <v>108.8</v>
      </c>
      <c r="P14" s="1">
        <v>29.1</v>
      </c>
      <c r="Q14" s="1">
        <v>43.3</v>
      </c>
      <c r="R14" s="1">
        <v>53.7</v>
      </c>
      <c r="S14" s="1">
        <v>87.6</v>
      </c>
      <c r="T14" s="1">
        <v>108.8</v>
      </c>
      <c r="U14" s="1">
        <v>43.3</v>
      </c>
      <c r="V14" s="1">
        <v>53.7</v>
      </c>
      <c r="W14" s="1">
        <v>53.7</v>
      </c>
      <c r="X14" s="47">
        <v>45085</v>
      </c>
    </row>
    <row r="15" spans="1:24" x14ac:dyDescent="0.3">
      <c r="A15" s="1" t="s">
        <v>20</v>
      </c>
      <c r="B15" s="1">
        <v>20030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28.5</v>
      </c>
      <c r="H15" s="1">
        <v>42.3</v>
      </c>
      <c r="I15" s="1">
        <v>52.3</v>
      </c>
      <c r="J15" s="1">
        <v>-1</v>
      </c>
      <c r="K15" s="1">
        <v>-1</v>
      </c>
      <c r="L15" s="1">
        <v>-1</v>
      </c>
      <c r="M15" s="1">
        <v>58.3</v>
      </c>
      <c r="N15" s="1">
        <v>85.4</v>
      </c>
      <c r="O15" s="1">
        <v>106.1</v>
      </c>
      <c r="P15" s="1">
        <v>28.5</v>
      </c>
      <c r="Q15" s="1">
        <v>42.3</v>
      </c>
      <c r="R15" s="1">
        <v>52.3</v>
      </c>
      <c r="S15" s="1">
        <v>85.4</v>
      </c>
      <c r="T15" s="1">
        <v>106.1</v>
      </c>
      <c r="U15" s="1">
        <v>42.3</v>
      </c>
      <c r="V15" s="1">
        <v>52.3</v>
      </c>
      <c r="W15" s="1">
        <v>52.3</v>
      </c>
      <c r="X15" s="47">
        <v>45071</v>
      </c>
    </row>
    <row r="16" spans="1:24" x14ac:dyDescent="0.3">
      <c r="A16" s="1" t="s">
        <v>9</v>
      </c>
      <c r="B16" s="1">
        <v>20008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6.6</v>
      </c>
      <c r="H16" s="1">
        <v>8.8000000000000007</v>
      </c>
      <c r="I16" s="1">
        <v>11</v>
      </c>
      <c r="J16" s="1">
        <v>-1</v>
      </c>
      <c r="K16" s="1">
        <v>-1</v>
      </c>
      <c r="L16" s="1">
        <v>-1</v>
      </c>
      <c r="M16" s="1">
        <v>13.3</v>
      </c>
      <c r="N16" s="1">
        <v>18</v>
      </c>
      <c r="O16" s="1">
        <v>22.5</v>
      </c>
      <c r="P16" s="1">
        <v>6.6</v>
      </c>
      <c r="Q16" s="1">
        <v>8.8000000000000007</v>
      </c>
      <c r="R16" s="1">
        <v>11</v>
      </c>
      <c r="S16" s="1">
        <v>18</v>
      </c>
      <c r="T16" s="1">
        <v>22.5</v>
      </c>
      <c r="U16" s="1">
        <v>8.8000000000000007</v>
      </c>
      <c r="V16" s="1">
        <v>11</v>
      </c>
      <c r="W16" s="1">
        <v>11</v>
      </c>
      <c r="X16" s="47">
        <v>45076</v>
      </c>
    </row>
    <row r="17" spans="1:24" x14ac:dyDescent="0.3">
      <c r="A17" s="1" t="s">
        <v>33</v>
      </c>
      <c r="B17" s="1">
        <v>21002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41.5</v>
      </c>
      <c r="H17" s="1">
        <v>61.4</v>
      </c>
      <c r="I17" s="1">
        <v>75</v>
      </c>
      <c r="J17" s="1">
        <v>-1</v>
      </c>
      <c r="K17" s="1">
        <v>-1</v>
      </c>
      <c r="L17" s="1">
        <v>-1</v>
      </c>
      <c r="M17" s="1">
        <v>84.6</v>
      </c>
      <c r="N17" s="1">
        <v>124.4</v>
      </c>
      <c r="O17" s="1">
        <v>151.5</v>
      </c>
      <c r="P17" s="1">
        <v>41.5</v>
      </c>
      <c r="Q17" s="1">
        <v>61.4</v>
      </c>
      <c r="R17" s="1">
        <v>75</v>
      </c>
      <c r="S17" s="1">
        <v>124.4</v>
      </c>
      <c r="T17" s="1">
        <v>151.5</v>
      </c>
      <c r="U17" s="1">
        <v>61.4</v>
      </c>
      <c r="V17" s="1">
        <v>75</v>
      </c>
      <c r="W17" s="1">
        <v>75</v>
      </c>
      <c r="X17" s="47">
        <v>45166</v>
      </c>
    </row>
    <row r="18" spans="1:24" x14ac:dyDescent="0.3">
      <c r="A18" s="1" t="s">
        <v>22</v>
      </c>
      <c r="B18" s="1">
        <v>20034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30.7</v>
      </c>
      <c r="H18" s="1">
        <v>45.5</v>
      </c>
      <c r="I18" s="1">
        <v>57</v>
      </c>
      <c r="J18" s="1">
        <v>-1</v>
      </c>
      <c r="K18" s="1">
        <v>-1</v>
      </c>
      <c r="L18" s="1">
        <v>-1</v>
      </c>
      <c r="M18" s="1">
        <v>62.5</v>
      </c>
      <c r="N18" s="1">
        <v>92.1</v>
      </c>
      <c r="O18" s="1">
        <v>115.1</v>
      </c>
      <c r="P18" s="1">
        <v>30.7</v>
      </c>
      <c r="Q18" s="1">
        <v>45.5</v>
      </c>
      <c r="R18" s="1">
        <v>57</v>
      </c>
      <c r="S18" s="1">
        <v>92.1</v>
      </c>
      <c r="T18" s="1">
        <v>115.1</v>
      </c>
      <c r="U18" s="1">
        <v>45.5</v>
      </c>
      <c r="V18" s="1">
        <v>57</v>
      </c>
      <c r="W18" s="1">
        <v>57</v>
      </c>
      <c r="X18" s="47">
        <v>45099</v>
      </c>
    </row>
    <row r="19" spans="1:24" x14ac:dyDescent="0.3">
      <c r="A19" s="1" t="s">
        <v>35</v>
      </c>
      <c r="B19" s="1">
        <v>21006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44.5</v>
      </c>
      <c r="H19" s="1">
        <v>65.900000000000006</v>
      </c>
      <c r="I19" s="1">
        <v>81.8</v>
      </c>
      <c r="J19" s="1">
        <v>-1</v>
      </c>
      <c r="K19" s="1">
        <v>-1</v>
      </c>
      <c r="L19" s="1">
        <v>-1</v>
      </c>
      <c r="M19" s="1">
        <v>89.9</v>
      </c>
      <c r="N19" s="1">
        <v>133.4</v>
      </c>
      <c r="O19" s="1">
        <v>165.3</v>
      </c>
      <c r="P19" s="1">
        <v>44.5</v>
      </c>
      <c r="Q19" s="1">
        <v>65.900000000000006</v>
      </c>
      <c r="R19" s="1">
        <v>81.8</v>
      </c>
      <c r="S19" s="1">
        <v>133.4</v>
      </c>
      <c r="T19" s="1">
        <v>165.3</v>
      </c>
      <c r="U19" s="1">
        <v>65.900000000000006</v>
      </c>
      <c r="V19" s="1">
        <v>81.8</v>
      </c>
      <c r="W19" s="1">
        <v>81.8</v>
      </c>
      <c r="X19" s="47">
        <v>45160</v>
      </c>
    </row>
    <row r="20" spans="1:24" x14ac:dyDescent="0.3">
      <c r="A20" s="1" t="s">
        <v>36</v>
      </c>
      <c r="B20" s="1">
        <v>21008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47.3</v>
      </c>
      <c r="H20" s="1">
        <v>70.400000000000006</v>
      </c>
      <c r="I20" s="1">
        <v>86.4</v>
      </c>
      <c r="J20" s="1">
        <v>-1</v>
      </c>
      <c r="K20" s="1">
        <v>-1</v>
      </c>
      <c r="L20" s="1">
        <v>-1</v>
      </c>
      <c r="M20" s="1">
        <v>95.6</v>
      </c>
      <c r="N20" s="1">
        <v>142.5</v>
      </c>
      <c r="O20" s="1">
        <v>174.2</v>
      </c>
      <c r="P20" s="1">
        <v>47.3</v>
      </c>
      <c r="Q20" s="1">
        <v>70.400000000000006</v>
      </c>
      <c r="R20" s="1">
        <v>86.4</v>
      </c>
      <c r="S20" s="1">
        <v>142.5</v>
      </c>
      <c r="T20" s="1">
        <v>174.2</v>
      </c>
      <c r="U20" s="1">
        <v>70.400000000000006</v>
      </c>
      <c r="V20" s="1">
        <v>86.4</v>
      </c>
      <c r="W20" s="1">
        <v>86.4</v>
      </c>
      <c r="X20" s="47">
        <v>45179</v>
      </c>
    </row>
    <row r="21" spans="1:24" x14ac:dyDescent="0.3">
      <c r="A21" s="1" t="s">
        <v>32</v>
      </c>
      <c r="B21" s="1">
        <v>21000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-1</v>
      </c>
      <c r="H21" s="1">
        <v>-1</v>
      </c>
      <c r="I21" s="1">
        <v>-1</v>
      </c>
      <c r="J21" s="1">
        <v>-1</v>
      </c>
      <c r="K21" s="1">
        <v>-1</v>
      </c>
      <c r="L21" s="1">
        <v>-1</v>
      </c>
      <c r="M21" s="1">
        <v>-1</v>
      </c>
      <c r="N21" s="1">
        <v>-1</v>
      </c>
      <c r="O21" s="1">
        <v>-1</v>
      </c>
      <c r="P21" s="1">
        <v>-1</v>
      </c>
      <c r="Q21" s="1">
        <v>-1</v>
      </c>
      <c r="R21" s="1">
        <v>-1</v>
      </c>
      <c r="S21" s="1">
        <v>-1</v>
      </c>
      <c r="T21" s="1">
        <v>-1</v>
      </c>
      <c r="U21" s="1">
        <v>-1</v>
      </c>
      <c r="V21" s="1">
        <v>-1</v>
      </c>
      <c r="W21" s="1">
        <v>-1</v>
      </c>
      <c r="X21" s="47">
        <v>45143</v>
      </c>
    </row>
    <row r="22" spans="1:24" x14ac:dyDescent="0.3">
      <c r="A22" s="1" t="s">
        <v>24</v>
      </c>
      <c r="B22" s="1">
        <v>20038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34.700000000000003</v>
      </c>
      <c r="H22" s="1">
        <v>52.3</v>
      </c>
      <c r="I22" s="1">
        <v>63.6</v>
      </c>
      <c r="J22" s="1">
        <v>-1</v>
      </c>
      <c r="K22" s="1">
        <v>-1</v>
      </c>
      <c r="L22" s="1">
        <v>-1</v>
      </c>
      <c r="M22" s="1">
        <v>70.8</v>
      </c>
      <c r="N22" s="1">
        <v>106.1</v>
      </c>
      <c r="O22" s="1">
        <v>128.6</v>
      </c>
      <c r="P22" s="1">
        <v>34.700000000000003</v>
      </c>
      <c r="Q22" s="1">
        <v>52.3</v>
      </c>
      <c r="R22" s="1">
        <v>63.6</v>
      </c>
      <c r="S22" s="1">
        <v>106.1</v>
      </c>
      <c r="T22" s="1">
        <v>128.6</v>
      </c>
      <c r="U22" s="1">
        <v>52.3</v>
      </c>
      <c r="V22" s="1">
        <v>63.6</v>
      </c>
      <c r="W22" s="1">
        <v>63.6</v>
      </c>
      <c r="X22" s="47">
        <v>45079</v>
      </c>
    </row>
    <row r="23" spans="1:24" x14ac:dyDescent="0.3">
      <c r="A23" s="1" t="s">
        <v>31</v>
      </c>
      <c r="B23" s="1">
        <v>20060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45</v>
      </c>
      <c r="H23" s="1">
        <v>65.900000000000006</v>
      </c>
      <c r="I23" s="1">
        <v>79.400000000000006</v>
      </c>
      <c r="J23" s="1">
        <v>-1</v>
      </c>
      <c r="K23" s="1">
        <v>-1</v>
      </c>
      <c r="L23" s="1">
        <v>-1</v>
      </c>
      <c r="M23" s="1">
        <v>90.9</v>
      </c>
      <c r="N23" s="1">
        <v>133.4</v>
      </c>
      <c r="O23" s="1">
        <v>160.9</v>
      </c>
      <c r="P23" s="1">
        <v>45</v>
      </c>
      <c r="Q23" s="1">
        <v>65.900000000000006</v>
      </c>
      <c r="R23" s="1">
        <v>79.400000000000006</v>
      </c>
      <c r="S23" s="1">
        <v>133.4</v>
      </c>
      <c r="T23" s="1">
        <v>160.9</v>
      </c>
      <c r="U23" s="1">
        <v>65.900000000000006</v>
      </c>
      <c r="V23" s="1">
        <v>79.400000000000006</v>
      </c>
      <c r="W23" s="1">
        <v>79.400000000000006</v>
      </c>
      <c r="X23" s="47">
        <v>45157</v>
      </c>
    </row>
    <row r="24" spans="1:24" x14ac:dyDescent="0.3">
      <c r="A24" s="1" t="s">
        <v>10</v>
      </c>
      <c r="B24" s="1">
        <v>20010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7.1</v>
      </c>
      <c r="H24" s="1">
        <v>10.4</v>
      </c>
      <c r="I24" s="1">
        <v>12.8</v>
      </c>
      <c r="J24" s="1">
        <v>-1</v>
      </c>
      <c r="K24" s="1">
        <v>-1</v>
      </c>
      <c r="L24" s="1">
        <v>-1</v>
      </c>
      <c r="M24" s="1">
        <v>14.4</v>
      </c>
      <c r="N24" s="1">
        <v>21.5</v>
      </c>
      <c r="O24" s="1">
        <v>26.1</v>
      </c>
      <c r="P24" s="1">
        <v>7.1</v>
      </c>
      <c r="Q24" s="1">
        <v>10.4</v>
      </c>
      <c r="R24" s="1">
        <v>12.8</v>
      </c>
      <c r="S24" s="1">
        <v>21.5</v>
      </c>
      <c r="T24" s="1">
        <v>26.1</v>
      </c>
      <c r="U24" s="1">
        <v>10.4</v>
      </c>
      <c r="V24" s="1">
        <v>12.8</v>
      </c>
      <c r="W24" s="1">
        <v>12.8</v>
      </c>
      <c r="X24" s="47">
        <v>45057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8</v>
      </c>
      <c r="B26" s="1">
        <v>20006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4.9000000000000004</v>
      </c>
      <c r="H26" s="1">
        <v>6.6</v>
      </c>
      <c r="I26" s="1">
        <v>8.1</v>
      </c>
      <c r="J26" s="1">
        <v>-1</v>
      </c>
      <c r="K26" s="1">
        <v>-1</v>
      </c>
      <c r="L26" s="1">
        <v>-1</v>
      </c>
      <c r="M26" s="1">
        <v>10</v>
      </c>
      <c r="N26" s="1">
        <v>13.3</v>
      </c>
      <c r="O26" s="1">
        <v>17</v>
      </c>
      <c r="P26" s="1">
        <v>4.9000000000000004</v>
      </c>
      <c r="Q26" s="1">
        <v>6.6</v>
      </c>
      <c r="R26" s="1">
        <v>8.1</v>
      </c>
      <c r="S26" s="1">
        <v>13.3</v>
      </c>
      <c r="T26" s="1">
        <v>17</v>
      </c>
      <c r="U26" s="1">
        <v>6.6</v>
      </c>
      <c r="V26" s="1">
        <v>8.1</v>
      </c>
      <c r="W26" s="1">
        <v>8.1</v>
      </c>
      <c r="X26" s="47">
        <v>45059</v>
      </c>
    </row>
    <row r="27" spans="1:24" x14ac:dyDescent="0.3">
      <c r="A27" s="1" t="s">
        <v>37</v>
      </c>
      <c r="B27" s="1">
        <v>21012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49.1</v>
      </c>
      <c r="H27" s="1">
        <v>72.8</v>
      </c>
      <c r="I27" s="1">
        <v>90.9</v>
      </c>
      <c r="J27" s="1">
        <v>-1</v>
      </c>
      <c r="K27" s="1">
        <v>-1</v>
      </c>
      <c r="L27" s="1">
        <v>-1</v>
      </c>
      <c r="M27" s="1">
        <v>99.5</v>
      </c>
      <c r="N27" s="1">
        <v>146.80000000000001</v>
      </c>
      <c r="O27" s="1">
        <v>183.5</v>
      </c>
      <c r="P27" s="1">
        <v>49.1</v>
      </c>
      <c r="Q27" s="1">
        <v>72.8</v>
      </c>
      <c r="R27" s="1">
        <v>90.9</v>
      </c>
      <c r="S27" s="1">
        <v>146.80000000000001</v>
      </c>
      <c r="T27" s="1">
        <v>183.5</v>
      </c>
      <c r="U27" s="1">
        <v>72.8</v>
      </c>
      <c r="V27" s="1">
        <v>90.9</v>
      </c>
      <c r="W27" s="1">
        <v>90.9</v>
      </c>
      <c r="X27" s="47">
        <v>45143</v>
      </c>
    </row>
    <row r="28" spans="1:24" x14ac:dyDescent="0.3">
      <c r="A28" s="1" t="s">
        <v>34</v>
      </c>
      <c r="B28" s="1">
        <v>21004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43.3</v>
      </c>
      <c r="H28" s="1">
        <v>63.6</v>
      </c>
      <c r="I28" s="1">
        <v>79.400000000000006</v>
      </c>
      <c r="J28" s="1">
        <v>-1</v>
      </c>
      <c r="K28" s="1">
        <v>-1</v>
      </c>
      <c r="L28" s="1">
        <v>-1</v>
      </c>
      <c r="M28" s="1">
        <v>87.6</v>
      </c>
      <c r="N28" s="1">
        <v>128.6</v>
      </c>
      <c r="O28" s="1">
        <v>160.9</v>
      </c>
      <c r="P28" s="1">
        <v>43.3</v>
      </c>
      <c r="Q28" s="1">
        <v>63.6</v>
      </c>
      <c r="R28" s="1">
        <v>79.400000000000006</v>
      </c>
      <c r="S28" s="1">
        <v>128.6</v>
      </c>
      <c r="T28" s="1">
        <v>160.9</v>
      </c>
      <c r="U28" s="1">
        <v>63.6</v>
      </c>
      <c r="V28" s="1">
        <v>79.400000000000006</v>
      </c>
      <c r="W28" s="1">
        <v>79.400000000000006</v>
      </c>
      <c r="X28" s="47">
        <v>45162</v>
      </c>
    </row>
    <row r="29" spans="1:24" x14ac:dyDescent="0.3">
      <c r="A29" s="1" t="s">
        <v>23</v>
      </c>
      <c r="B29" s="1">
        <v>20036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33.799999999999997</v>
      </c>
      <c r="H29" s="1">
        <v>50.1</v>
      </c>
      <c r="I29" s="1">
        <v>61.4</v>
      </c>
      <c r="J29" s="1">
        <v>-1</v>
      </c>
      <c r="K29" s="1">
        <v>-1</v>
      </c>
      <c r="L29" s="1">
        <v>-1</v>
      </c>
      <c r="M29" s="1">
        <v>67.900000000000006</v>
      </c>
      <c r="N29" s="1">
        <v>101.3</v>
      </c>
      <c r="O29" s="1">
        <v>124.4</v>
      </c>
      <c r="P29" s="1">
        <v>33.799999999999997</v>
      </c>
      <c r="Q29" s="1">
        <v>50.1</v>
      </c>
      <c r="R29" s="1">
        <v>61.4</v>
      </c>
      <c r="S29" s="1">
        <v>101.3</v>
      </c>
      <c r="T29" s="1">
        <v>124.4</v>
      </c>
      <c r="U29" s="1">
        <v>50.1</v>
      </c>
      <c r="V29" s="1">
        <v>61.4</v>
      </c>
      <c r="W29" s="1">
        <v>61.4</v>
      </c>
      <c r="X29" s="47">
        <v>45091</v>
      </c>
    </row>
    <row r="30" spans="1:24" x14ac:dyDescent="0.3">
      <c r="A30" s="1" t="s">
        <v>41</v>
      </c>
      <c r="B30" s="1">
        <v>20042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38</v>
      </c>
      <c r="H30" s="1">
        <v>57.2</v>
      </c>
      <c r="I30" s="1">
        <v>68.7</v>
      </c>
      <c r="J30" s="1">
        <v>-1</v>
      </c>
      <c r="K30" s="1">
        <v>-1</v>
      </c>
      <c r="L30" s="1">
        <v>-1</v>
      </c>
      <c r="M30" s="1">
        <v>76.599999999999994</v>
      </c>
      <c r="N30" s="1">
        <v>115.5</v>
      </c>
      <c r="O30" s="1">
        <v>138.80000000000001</v>
      </c>
      <c r="P30" s="1">
        <v>38</v>
      </c>
      <c r="Q30" s="1">
        <v>57.2</v>
      </c>
      <c r="R30" s="1">
        <v>68.7</v>
      </c>
      <c r="S30" s="1">
        <v>115.5</v>
      </c>
      <c r="T30" s="1">
        <v>138.80000000000001</v>
      </c>
      <c r="U30" s="1">
        <v>57.2</v>
      </c>
      <c r="V30" s="1">
        <v>68.7</v>
      </c>
      <c r="W30" s="1">
        <v>68.7</v>
      </c>
      <c r="X30" s="47">
        <v>45110</v>
      </c>
    </row>
    <row r="31" spans="1:24" x14ac:dyDescent="0.3">
      <c r="A31" s="1" t="s">
        <v>42</v>
      </c>
      <c r="B31" s="1">
        <v>21010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48.3</v>
      </c>
      <c r="H31" s="1">
        <v>72</v>
      </c>
      <c r="I31" s="1">
        <v>89</v>
      </c>
      <c r="J31" s="1">
        <v>-1</v>
      </c>
      <c r="K31" s="1">
        <v>-1</v>
      </c>
      <c r="L31" s="1">
        <v>-1</v>
      </c>
      <c r="M31" s="1">
        <v>97.9</v>
      </c>
      <c r="N31" s="1">
        <v>145.5</v>
      </c>
      <c r="O31" s="1">
        <v>179.8</v>
      </c>
      <c r="P31" s="1">
        <v>48.3</v>
      </c>
      <c r="Q31" s="1">
        <v>72</v>
      </c>
      <c r="R31" s="1">
        <v>89</v>
      </c>
      <c r="S31" s="1">
        <v>145.5</v>
      </c>
      <c r="T31" s="1">
        <v>179.8</v>
      </c>
      <c r="U31" s="1">
        <v>72</v>
      </c>
      <c r="V31" s="1">
        <v>89</v>
      </c>
      <c r="W31" s="1">
        <v>89</v>
      </c>
      <c r="X31" s="47">
        <v>45157</v>
      </c>
    </row>
    <row r="32" spans="1:24" x14ac:dyDescent="0.3">
      <c r="A32" s="1" t="s">
        <v>12</v>
      </c>
      <c r="B32" s="1">
        <v>20014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11.6</v>
      </c>
      <c r="H32" s="1">
        <v>17.3</v>
      </c>
      <c r="I32" s="1">
        <v>21.3</v>
      </c>
      <c r="J32" s="1">
        <v>-1</v>
      </c>
      <c r="K32" s="1">
        <v>-1</v>
      </c>
      <c r="L32" s="1">
        <v>-1</v>
      </c>
      <c r="M32" s="1">
        <v>23.6</v>
      </c>
      <c r="N32" s="1">
        <v>35.200000000000003</v>
      </c>
      <c r="O32" s="1">
        <v>43</v>
      </c>
      <c r="P32" s="1">
        <v>11.6</v>
      </c>
      <c r="Q32" s="1">
        <v>17.3</v>
      </c>
      <c r="R32" s="1">
        <v>21.3</v>
      </c>
      <c r="S32" s="1">
        <v>35.200000000000003</v>
      </c>
      <c r="T32" s="1">
        <v>43</v>
      </c>
      <c r="U32" s="1">
        <v>17.3</v>
      </c>
      <c r="V32" s="1">
        <v>21.3</v>
      </c>
      <c r="W32" s="1">
        <v>21.3</v>
      </c>
      <c r="X32" s="47">
        <v>45098</v>
      </c>
    </row>
    <row r="33" spans="1:24" x14ac:dyDescent="0.3">
      <c r="A33" s="1" t="s">
        <v>58</v>
      </c>
      <c r="B33" s="1">
        <v>20058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-1</v>
      </c>
      <c r="H33" s="1">
        <v>-1</v>
      </c>
      <c r="I33" s="1">
        <v>-1</v>
      </c>
      <c r="J33" s="1">
        <v>-1</v>
      </c>
      <c r="K33" s="1">
        <v>-1</v>
      </c>
      <c r="L33" s="1">
        <v>-1</v>
      </c>
      <c r="M33" s="1">
        <v>-1</v>
      </c>
      <c r="N33" s="1">
        <v>-1</v>
      </c>
      <c r="O33" s="1">
        <v>-1</v>
      </c>
      <c r="P33" s="1">
        <v>-1</v>
      </c>
      <c r="Q33" s="1">
        <v>-1</v>
      </c>
      <c r="R33" s="1">
        <v>-1</v>
      </c>
      <c r="S33" s="1">
        <v>-1</v>
      </c>
      <c r="T33" s="1">
        <v>-1</v>
      </c>
      <c r="U33" s="1">
        <v>-1</v>
      </c>
      <c r="V33" s="1">
        <v>-1</v>
      </c>
      <c r="W33" s="1">
        <v>-1</v>
      </c>
      <c r="X33" s="47">
        <v>45150</v>
      </c>
    </row>
    <row r="34" spans="1:24" x14ac:dyDescent="0.3">
      <c r="A34" s="1" t="s">
        <v>26</v>
      </c>
      <c r="B34" s="1">
        <v>20044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38.700000000000003</v>
      </c>
      <c r="H34" s="1">
        <v>59.2</v>
      </c>
      <c r="I34" s="1">
        <v>70.400000000000006</v>
      </c>
      <c r="J34" s="1">
        <v>-1</v>
      </c>
      <c r="K34" s="1">
        <v>-1</v>
      </c>
      <c r="L34" s="1">
        <v>-1</v>
      </c>
      <c r="M34" s="1">
        <v>78.599999999999994</v>
      </c>
      <c r="N34" s="1">
        <v>119.4</v>
      </c>
      <c r="O34" s="1">
        <v>142.5</v>
      </c>
      <c r="P34" s="1">
        <v>38.700000000000003</v>
      </c>
      <c r="Q34" s="1">
        <v>59.2</v>
      </c>
      <c r="R34" s="1">
        <v>70.400000000000006</v>
      </c>
      <c r="S34" s="1">
        <v>119.4</v>
      </c>
      <c r="T34" s="1">
        <v>142.5</v>
      </c>
      <c r="U34" s="1">
        <v>59.2</v>
      </c>
      <c r="V34" s="1">
        <v>70.400000000000006</v>
      </c>
      <c r="W34" s="1">
        <v>70.400000000000006</v>
      </c>
      <c r="X34" s="47">
        <v>45114</v>
      </c>
    </row>
    <row r="35" spans="1:24" x14ac:dyDescent="0.3">
      <c r="A35" s="1" t="s">
        <v>57</v>
      </c>
      <c r="B35" s="1">
        <v>20050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41.3</v>
      </c>
      <c r="H35" s="1">
        <v>61.4</v>
      </c>
      <c r="I35" s="1">
        <v>75</v>
      </c>
      <c r="J35" s="1">
        <v>-1</v>
      </c>
      <c r="K35" s="1">
        <v>-1</v>
      </c>
      <c r="L35" s="1">
        <v>-1</v>
      </c>
      <c r="M35" s="1">
        <v>83.5</v>
      </c>
      <c r="N35" s="1">
        <v>124.4</v>
      </c>
      <c r="O35" s="1">
        <v>151.5</v>
      </c>
      <c r="P35" s="1">
        <v>41.3</v>
      </c>
      <c r="Q35" s="1">
        <v>61.4</v>
      </c>
      <c r="R35" s="1">
        <v>75</v>
      </c>
      <c r="S35" s="1">
        <v>124.4</v>
      </c>
      <c r="T35" s="1">
        <v>151.5</v>
      </c>
      <c r="U35" s="1">
        <v>61.4</v>
      </c>
      <c r="V35" s="1">
        <v>75</v>
      </c>
      <c r="W35" s="1">
        <v>75</v>
      </c>
      <c r="X35" s="47">
        <v>45146</v>
      </c>
    </row>
    <row r="36" spans="1:24" x14ac:dyDescent="0.3">
      <c r="A36" s="1" t="s">
        <v>40</v>
      </c>
      <c r="B36" s="1">
        <v>20000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2.7</v>
      </c>
      <c r="H36" s="1">
        <v>3.6</v>
      </c>
      <c r="I36" s="1">
        <v>4.2</v>
      </c>
      <c r="J36" s="1">
        <v>-1</v>
      </c>
      <c r="K36" s="1">
        <v>-1</v>
      </c>
      <c r="L36" s="1">
        <v>-1</v>
      </c>
      <c r="M36" s="1">
        <v>5.3</v>
      </c>
      <c r="N36" s="1">
        <v>7.6</v>
      </c>
      <c r="O36" s="1">
        <v>8.9</v>
      </c>
      <c r="P36" s="1">
        <v>2.7</v>
      </c>
      <c r="Q36" s="1">
        <v>3.6</v>
      </c>
      <c r="R36" s="1">
        <v>4.2</v>
      </c>
      <c r="S36" s="1">
        <v>7.6</v>
      </c>
      <c r="T36" s="1">
        <v>8.9</v>
      </c>
      <c r="U36" s="1">
        <v>3.6</v>
      </c>
      <c r="V36" s="1">
        <v>4.2</v>
      </c>
      <c r="W36" s="1">
        <v>4.2</v>
      </c>
      <c r="X36" s="47">
        <v>45051</v>
      </c>
    </row>
    <row r="37" spans="1:24" x14ac:dyDescent="0.3">
      <c r="A37" s="1" t="s">
        <v>38</v>
      </c>
      <c r="B37" s="1">
        <v>21014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50.6</v>
      </c>
      <c r="H37" s="1">
        <v>75</v>
      </c>
      <c r="I37" s="1">
        <v>93.1</v>
      </c>
      <c r="J37" s="1">
        <v>-1</v>
      </c>
      <c r="K37" s="1">
        <v>-1</v>
      </c>
      <c r="L37" s="1">
        <v>-1</v>
      </c>
      <c r="M37" s="1">
        <v>102.6</v>
      </c>
      <c r="N37" s="1">
        <v>151.5</v>
      </c>
      <c r="O37" s="1">
        <v>188.1</v>
      </c>
      <c r="P37" s="1">
        <v>50.6</v>
      </c>
      <c r="Q37" s="1">
        <v>75</v>
      </c>
      <c r="R37" s="1">
        <v>93.1</v>
      </c>
      <c r="S37" s="1">
        <v>151.5</v>
      </c>
      <c r="T37" s="1">
        <v>188.1</v>
      </c>
      <c r="U37" s="1">
        <v>75</v>
      </c>
      <c r="V37" s="1">
        <v>93.1</v>
      </c>
      <c r="W37" s="1">
        <v>93.1</v>
      </c>
      <c r="X37" s="47">
        <v>45166</v>
      </c>
    </row>
    <row r="38" spans="1:24" x14ac:dyDescent="0.3">
      <c r="A38" s="1" t="s">
        <v>29</v>
      </c>
      <c r="B38" s="1">
        <v>20052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42.3</v>
      </c>
      <c r="H38" s="1">
        <v>61.4</v>
      </c>
      <c r="I38" s="1">
        <v>75</v>
      </c>
      <c r="J38" s="1">
        <v>-1</v>
      </c>
      <c r="K38" s="1">
        <v>-1</v>
      </c>
      <c r="L38" s="1">
        <v>-1</v>
      </c>
      <c r="M38" s="1">
        <v>85.4</v>
      </c>
      <c r="N38" s="1">
        <v>124.4</v>
      </c>
      <c r="O38" s="1">
        <v>151.5</v>
      </c>
      <c r="P38" s="1">
        <v>42.3</v>
      </c>
      <c r="Q38" s="1">
        <v>61.4</v>
      </c>
      <c r="R38" s="1">
        <v>75</v>
      </c>
      <c r="S38" s="1">
        <v>124.4</v>
      </c>
      <c r="T38" s="1">
        <v>151.5</v>
      </c>
      <c r="U38" s="1">
        <v>61.4</v>
      </c>
      <c r="V38" s="1">
        <v>75</v>
      </c>
      <c r="W38" s="1">
        <v>75</v>
      </c>
      <c r="X38" s="47">
        <v>45108</v>
      </c>
    </row>
    <row r="39" spans="1:24" x14ac:dyDescent="0.3">
      <c r="A39" s="1" t="s">
        <v>16</v>
      </c>
      <c r="B39" s="1">
        <v>20022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21.9</v>
      </c>
      <c r="H39" s="1">
        <v>32.1</v>
      </c>
      <c r="I39" s="1">
        <v>40.1</v>
      </c>
      <c r="J39" s="1">
        <v>-1</v>
      </c>
      <c r="K39" s="1">
        <v>-1</v>
      </c>
      <c r="L39" s="1">
        <v>-1</v>
      </c>
      <c r="M39" s="1">
        <v>42.3</v>
      </c>
      <c r="N39" s="1">
        <v>61.5</v>
      </c>
      <c r="O39" s="1">
        <v>76.599999999999994</v>
      </c>
      <c r="P39" s="1">
        <v>21.9</v>
      </c>
      <c r="Q39" s="1">
        <v>32.1</v>
      </c>
      <c r="R39" s="1">
        <v>40.1</v>
      </c>
      <c r="S39" s="1">
        <v>61.5</v>
      </c>
      <c r="T39" s="1">
        <v>76.599999999999994</v>
      </c>
      <c r="U39" s="1">
        <v>32.1</v>
      </c>
      <c r="V39" s="1">
        <v>40.1</v>
      </c>
      <c r="W39" s="1">
        <v>40.1</v>
      </c>
      <c r="X39" s="47">
        <v>45110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H41" s="3">
        <f>SUMPRODUCT((H2:H40 &gt; 20) * H2:H40)</f>
        <v>1473</v>
      </c>
    </row>
  </sheetData>
  <sortState xmlns:xlrd2="http://schemas.microsoft.com/office/spreadsheetml/2017/richdata2" ref="A2:X41">
    <sortCondition ref="A1:A41"/>
  </sortState>
  <conditionalFormatting sqref="G2:G40">
    <cfRule type="cellIs" dxfId="8" priority="5" operator="equal">
      <formula>0</formula>
    </cfRule>
  </conditionalFormatting>
  <conditionalFormatting sqref="H2:W40">
    <cfRule type="cellIs" dxfId="7" priority="4" operator="equal">
      <formula>0</formula>
    </cfRule>
  </conditionalFormatting>
  <conditionalFormatting sqref="G2:W40">
    <cfRule type="cellIs" dxfId="6" priority="3" operator="equal">
      <formula>-1</formula>
    </cfRule>
  </conditionalFormatting>
  <conditionalFormatting sqref="G2:X40">
    <cfRule type="cellIs" dxfId="5" priority="2" operator="lessThan">
      <formula>0</formula>
    </cfRule>
    <cfRule type="cellIs" dxfId="4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4"/>
  <sheetViews>
    <sheetView topLeftCell="A2" zoomScaleNormal="100" workbookViewId="0">
      <selection activeCell="B6" sqref="B6"/>
    </sheetView>
  </sheetViews>
  <sheetFormatPr defaultColWidth="11" defaultRowHeight="14.4" x14ac:dyDescent="0.3"/>
  <cols>
    <col min="1" max="1" width="9" style="1" bestFit="1" customWidth="1"/>
    <col min="2" max="2" width="72.77734375" style="1" bestFit="1" customWidth="1"/>
    <col min="3" max="3" width="39" style="1" customWidth="1"/>
    <col min="4" max="4" width="11" style="1"/>
    <col min="5" max="5" width="16.10937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5" t="s">
        <v>176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8" spans="1:5" x14ac:dyDescent="0.3">
      <c r="B8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0"/>
  <sheetViews>
    <sheetView zoomScaleNormal="100" workbookViewId="0">
      <selection activeCell="H8" sqref="H8"/>
    </sheetView>
  </sheetViews>
  <sheetFormatPr defaultColWidth="11" defaultRowHeight="13.8" x14ac:dyDescent="0.3"/>
  <cols>
    <col min="1" max="1" width="21.6640625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9" s="40" customFormat="1" ht="21" x14ac:dyDescent="0.4">
      <c r="A1" s="41" t="s">
        <v>55</v>
      </c>
      <c r="B1" s="40" t="s">
        <v>164</v>
      </c>
    </row>
    <row r="2" spans="1:9" s="40" customFormat="1" ht="21" x14ac:dyDescent="0.4">
      <c r="B2" s="40" t="s">
        <v>161</v>
      </c>
    </row>
    <row r="3" spans="1:9" ht="14.4" x14ac:dyDescent="0.3">
      <c r="A3" s="1"/>
      <c r="B3" s="1"/>
      <c r="C3" s="1"/>
      <c r="D3" s="1"/>
      <c r="E3" s="1"/>
      <c r="F3" s="1"/>
      <c r="G3" s="1"/>
    </row>
    <row r="4" spans="1:9" ht="23.4" x14ac:dyDescent="0.45">
      <c r="A4" s="18" t="s">
        <v>162</v>
      </c>
      <c r="B4" s="1"/>
      <c r="C4" s="1"/>
      <c r="D4" s="1"/>
      <c r="E4" s="1"/>
      <c r="F4" s="1"/>
      <c r="G4" s="1"/>
    </row>
    <row r="5" spans="1:9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9" ht="14.4" x14ac:dyDescent="0.3">
      <c r="A6" s="7" t="s">
        <v>40</v>
      </c>
      <c r="B6" s="12">
        <f>VLOOKUP($A6,Dataset!$A$2:$X$40,7,FALSE)</f>
        <v>2.7</v>
      </c>
      <c r="C6" s="12">
        <f>VLOOKUP($A6,Dataset!$A$2:$X$40,14,FALSE)</f>
        <v>7.6</v>
      </c>
      <c r="D6" s="12">
        <f>VLOOKUP($A6,Dataset!$A$2:$X$40,18,FALSE)</f>
        <v>4.2</v>
      </c>
      <c r="E6" s="12">
        <f>VLOOKUP($A6,Dataset!$A$2:$X$40,20,FALSE)</f>
        <v>8.9</v>
      </c>
      <c r="F6" s="8">
        <f>VLOOKUP($A6,Dataset!$A$2:$X$40,22,FALSE)</f>
        <v>4.2</v>
      </c>
      <c r="H6" s="1"/>
      <c r="I6" s="1"/>
    </row>
    <row r="7" spans="1:9" ht="14.4" x14ac:dyDescent="0.3">
      <c r="A7" s="7" t="s">
        <v>4</v>
      </c>
      <c r="B7" s="12">
        <f>VLOOKUP($A7,Dataset!$A$2:$X$40,7,FALSE)</f>
        <v>2.7</v>
      </c>
      <c r="C7" s="12">
        <f>VLOOKUP($A7,Dataset!$A$2:$X$40,14,FALSE)</f>
        <v>7.6</v>
      </c>
      <c r="D7" s="12">
        <f>VLOOKUP($A7,Dataset!$A$2:$X$40,18,FALSE)</f>
        <v>4.2</v>
      </c>
      <c r="E7" s="12">
        <f>VLOOKUP($A7,Dataset!$A$2:$X$40,20,FALSE)</f>
        <v>8.9</v>
      </c>
      <c r="F7" s="8">
        <f>VLOOKUP($A7,Dataset!$A$2:$X$40,22,FALSE)</f>
        <v>4.2</v>
      </c>
      <c r="H7" s="1"/>
      <c r="I7" s="1"/>
    </row>
    <row r="8" spans="1:9" ht="14.4" x14ac:dyDescent="0.3">
      <c r="A8" s="7" t="s">
        <v>7</v>
      </c>
      <c r="B8" s="12">
        <f>VLOOKUP($A8,Dataset!$A$2:$X$40,7,FALSE)</f>
        <v>3.6</v>
      </c>
      <c r="C8" s="12">
        <f>VLOOKUP($A8,Dataset!$A$2:$X$40,14,FALSE)</f>
        <v>11.1</v>
      </c>
      <c r="D8" s="12">
        <f>VLOOKUP($A8,Dataset!$A$2:$X$40,18,FALSE)</f>
        <v>5.8</v>
      </c>
      <c r="E8" s="12">
        <f>VLOOKUP($A8,Dataset!$A$2:$X$40,20,FALSE)</f>
        <v>12.2</v>
      </c>
      <c r="F8" s="8">
        <f>VLOOKUP($A8,Dataset!$A$2:$X$40,22,FALSE)</f>
        <v>5.8</v>
      </c>
      <c r="H8" s="1"/>
      <c r="I8" s="1"/>
    </row>
    <row r="9" spans="1:9" ht="14.4" x14ac:dyDescent="0.3">
      <c r="A9" s="7" t="s">
        <v>8</v>
      </c>
      <c r="B9" s="12">
        <f>VLOOKUP($A9,Dataset!$A$2:$X$40,7,FALSE)</f>
        <v>4.9000000000000004</v>
      </c>
      <c r="C9" s="12">
        <f>VLOOKUP($A9,Dataset!$A$2:$X$40,14,FALSE)</f>
        <v>13.3</v>
      </c>
      <c r="D9" s="12">
        <f>VLOOKUP($A9,Dataset!$A$2:$X$40,18,FALSE)</f>
        <v>8.1</v>
      </c>
      <c r="E9" s="12">
        <f>VLOOKUP($A9,Dataset!$A$2:$X$40,20,FALSE)</f>
        <v>17</v>
      </c>
      <c r="F9" s="8">
        <f>VLOOKUP($A9,Dataset!$A$2:$X$40,22,FALSE)</f>
        <v>8.1</v>
      </c>
      <c r="H9" s="1"/>
      <c r="I9" s="1"/>
    </row>
    <row r="10" spans="1:9" ht="14.4" x14ac:dyDescent="0.3">
      <c r="A10" s="7" t="s">
        <v>11</v>
      </c>
      <c r="B10" s="12">
        <f>VLOOKUP($A10,Dataset!$A$2:$X$40,7,FALSE)</f>
        <v>9.4</v>
      </c>
      <c r="C10" s="12">
        <f>VLOOKUP($A10,Dataset!$A$2:$X$40,14,FALSE)</f>
        <v>28.3</v>
      </c>
      <c r="D10" s="12">
        <f>VLOOKUP($A10,Dataset!$A$2:$X$40,18,FALSE)</f>
        <v>16.100000000000001</v>
      </c>
      <c r="E10" s="12">
        <f>VLOOKUP($A10,Dataset!$A$2:$X$40,20,FALSE)</f>
        <v>32.799999999999997</v>
      </c>
      <c r="F10" s="8">
        <f>VLOOKUP($A10,Dataset!$A$2:$X$40,22,FALSE)</f>
        <v>16.100000000000001</v>
      </c>
      <c r="H10" s="1"/>
      <c r="I10" s="1"/>
    </row>
    <row r="11" spans="1:9" ht="14.4" x14ac:dyDescent="0.3">
      <c r="A11" s="7" t="s">
        <v>12</v>
      </c>
      <c r="B11" s="12">
        <f>VLOOKUP($A11,Dataset!$A$2:$X$40,7,FALSE)</f>
        <v>11.6</v>
      </c>
      <c r="C11" s="12">
        <f>VLOOKUP($A11,Dataset!$A$2:$X$40,14,FALSE)</f>
        <v>35.200000000000003</v>
      </c>
      <c r="D11" s="12">
        <f>VLOOKUP($A11,Dataset!$A$2:$X$40,18,FALSE)</f>
        <v>21.3</v>
      </c>
      <c r="E11" s="12">
        <f>VLOOKUP($A11,Dataset!$A$2:$X$40,20,FALSE)</f>
        <v>43</v>
      </c>
      <c r="F11" s="8">
        <f>VLOOKUP($A11,Dataset!$A$2:$X$40,22,FALSE)</f>
        <v>21.3</v>
      </c>
      <c r="H11" s="1"/>
      <c r="I11" s="1"/>
    </row>
    <row r="12" spans="1:9" ht="14.4" x14ac:dyDescent="0.3">
      <c r="A12" s="7" t="s">
        <v>14</v>
      </c>
      <c r="B12" s="12">
        <f>VLOOKUP($A12,Dataset!$A$2:$X$40,7,FALSE)</f>
        <v>18.399999999999999</v>
      </c>
      <c r="C12" s="12">
        <f>VLOOKUP($A12,Dataset!$A$2:$X$40,14,FALSE)</f>
        <v>55.6</v>
      </c>
      <c r="D12" s="12">
        <f>VLOOKUP($A12,Dataset!$A$2:$X$40,18,FALSE)</f>
        <v>33.799999999999997</v>
      </c>
      <c r="E12" s="12">
        <f>VLOOKUP($A12,Dataset!$A$2:$X$40,20,FALSE)</f>
        <v>67.900000000000006</v>
      </c>
      <c r="F12" s="8">
        <f>VLOOKUP($A12,Dataset!$A$2:$X$40,22,FALSE)</f>
        <v>33.799999999999997</v>
      </c>
      <c r="H12" s="1"/>
      <c r="I12" s="1"/>
    </row>
    <row r="13" spans="1:9" ht="14.4" x14ac:dyDescent="0.3">
      <c r="A13" s="7" t="s">
        <v>15</v>
      </c>
      <c r="B13" s="12">
        <f>VLOOKUP($A13,Dataset!$A$2:$X$40,7,FALSE)</f>
        <v>0</v>
      </c>
      <c r="C13" s="12">
        <f>VLOOKUP($A13,Dataset!$A$2:$X$40,14,FALSE)</f>
        <v>0</v>
      </c>
      <c r="D13" s="12">
        <f>VLOOKUP($A13,Dataset!$A$2:$X$40,18,FALSE)</f>
        <v>0</v>
      </c>
      <c r="E13" s="12">
        <f>VLOOKUP($A13,Dataset!$A$2:$X$40,20,FALSE)</f>
        <v>0</v>
      </c>
      <c r="F13" s="8">
        <f>VLOOKUP($A13,Dataset!$A$2:$X$40,22,FALSE)</f>
        <v>0</v>
      </c>
      <c r="H13" s="1"/>
      <c r="I13" s="1"/>
    </row>
    <row r="14" spans="1:9" ht="14.4" x14ac:dyDescent="0.3">
      <c r="A14" s="7" t="s">
        <v>16</v>
      </c>
      <c r="B14" s="12">
        <f>VLOOKUP($A14,Dataset!$A$2:$X$40,7,FALSE)</f>
        <v>21.9</v>
      </c>
      <c r="C14" s="12">
        <f>VLOOKUP($A14,Dataset!$A$2:$X$40,14,FALSE)</f>
        <v>61.5</v>
      </c>
      <c r="D14" s="12">
        <f>VLOOKUP($A14,Dataset!$A$2:$X$40,18,FALSE)</f>
        <v>40.1</v>
      </c>
      <c r="E14" s="12">
        <f>VLOOKUP($A14,Dataset!$A$2:$X$40,20,FALSE)</f>
        <v>76.599999999999994</v>
      </c>
      <c r="F14" s="8">
        <f>VLOOKUP($A14,Dataset!$A$2:$X$40,22,FALSE)</f>
        <v>40.1</v>
      </c>
      <c r="H14" s="1"/>
      <c r="I14" s="1"/>
    </row>
    <row r="15" spans="1:9" ht="14.4" x14ac:dyDescent="0.3">
      <c r="A15" s="7" t="s">
        <v>18</v>
      </c>
      <c r="B15" s="12">
        <f>VLOOKUP($A15,Dataset!$A$2:$X$40,7,FALSE)</f>
        <v>26.8</v>
      </c>
      <c r="C15" s="12">
        <f>VLOOKUP($A15,Dataset!$A$2:$X$40,14,FALSE)</f>
        <v>79.599999999999994</v>
      </c>
      <c r="D15" s="12">
        <f>VLOOKUP($A15,Dataset!$A$2:$X$40,18,FALSE)</f>
        <v>47.9</v>
      </c>
      <c r="E15" s="12">
        <f>VLOOKUP($A15,Dataset!$A$2:$X$40,20,FALSE)</f>
        <v>96.8</v>
      </c>
      <c r="F15" s="8">
        <f>VLOOKUP($A15,Dataset!$A$2:$X$40,22,FALSE)</f>
        <v>47.9</v>
      </c>
      <c r="H15" s="1"/>
      <c r="I15" s="1"/>
    </row>
    <row r="16" spans="1:9" ht="14.4" x14ac:dyDescent="0.3">
      <c r="A16" s="7" t="s">
        <v>20</v>
      </c>
      <c r="B16" s="12">
        <f>VLOOKUP($A16,Dataset!$A$2:$X$40,7,FALSE)</f>
        <v>28.5</v>
      </c>
      <c r="C16" s="12">
        <f>VLOOKUP($A16,Dataset!$A$2:$X$40,14,FALSE)</f>
        <v>85.4</v>
      </c>
      <c r="D16" s="12">
        <f>VLOOKUP($A16,Dataset!$A$2:$X$40,18,FALSE)</f>
        <v>52.3</v>
      </c>
      <c r="E16" s="12">
        <f>VLOOKUP($A16,Dataset!$A$2:$X$40,20,FALSE)</f>
        <v>106.1</v>
      </c>
      <c r="F16" s="8">
        <f>VLOOKUP($A16,Dataset!$A$2:$X$40,22,FALSE)</f>
        <v>52.3</v>
      </c>
      <c r="H16" s="1"/>
      <c r="I16" s="1"/>
    </row>
    <row r="17" spans="1:9" ht="14.4" x14ac:dyDescent="0.3">
      <c r="A17" s="7" t="s">
        <v>22</v>
      </c>
      <c r="B17" s="12">
        <f>VLOOKUP($A17,Dataset!$A$2:$X$40,7,FALSE)</f>
        <v>30.7</v>
      </c>
      <c r="C17" s="12">
        <f>VLOOKUP($A17,Dataset!$A$2:$X$40,14,FALSE)</f>
        <v>92.1</v>
      </c>
      <c r="D17" s="12">
        <f>VLOOKUP($A17,Dataset!$A$2:$X$40,18,FALSE)</f>
        <v>57</v>
      </c>
      <c r="E17" s="12">
        <f>VLOOKUP($A17,Dataset!$A$2:$X$40,20,FALSE)</f>
        <v>115.1</v>
      </c>
      <c r="F17" s="8">
        <f>VLOOKUP($A17,Dataset!$A$2:$X$40,22,FALSE)</f>
        <v>57</v>
      </c>
      <c r="H17" s="1"/>
      <c r="I17" s="1"/>
    </row>
    <row r="18" spans="1:9" ht="14.4" x14ac:dyDescent="0.3">
      <c r="A18" s="7" t="s">
        <v>23</v>
      </c>
      <c r="B18" s="12">
        <f>VLOOKUP($A18,Dataset!$A$2:$X$40,7,FALSE)</f>
        <v>33.799999999999997</v>
      </c>
      <c r="C18" s="12">
        <f>VLOOKUP($A18,Dataset!$A$2:$X$40,14,FALSE)</f>
        <v>101.3</v>
      </c>
      <c r="D18" s="12">
        <f>VLOOKUP($A18,Dataset!$A$2:$X$40,18,FALSE)</f>
        <v>61.4</v>
      </c>
      <c r="E18" s="12">
        <f>VLOOKUP($A18,Dataset!$A$2:$X$40,20,FALSE)</f>
        <v>124.4</v>
      </c>
      <c r="F18" s="8">
        <f>VLOOKUP($A18,Dataset!$A$2:$X$40,22,FALSE)</f>
        <v>61.4</v>
      </c>
      <c r="H18" s="1"/>
      <c r="I18" s="1"/>
    </row>
    <row r="19" spans="1:9" ht="14.4" x14ac:dyDescent="0.3">
      <c r="A19" s="7" t="s">
        <v>24</v>
      </c>
      <c r="B19" s="12">
        <f>VLOOKUP($A19,Dataset!$A$2:$X$40,7,FALSE)</f>
        <v>34.700000000000003</v>
      </c>
      <c r="C19" s="12">
        <f>VLOOKUP($A19,Dataset!$A$2:$X$40,14,FALSE)</f>
        <v>106.1</v>
      </c>
      <c r="D19" s="12">
        <f>VLOOKUP($A19,Dataset!$A$2:$X$40,18,FALSE)</f>
        <v>63.6</v>
      </c>
      <c r="E19" s="12">
        <f>VLOOKUP($A19,Dataset!$A$2:$X$40,20,FALSE)</f>
        <v>128.6</v>
      </c>
      <c r="F19" s="8">
        <f>VLOOKUP($A19,Dataset!$A$2:$X$40,22,FALSE)</f>
        <v>63.6</v>
      </c>
      <c r="H19" s="1"/>
      <c r="I19" s="1"/>
    </row>
    <row r="20" spans="1:9" ht="14.4" x14ac:dyDescent="0.3">
      <c r="A20" s="7" t="s">
        <v>28</v>
      </c>
      <c r="B20" s="12">
        <f>VLOOKUP($A20,Dataset!$A$2:$X$40,7,FALSE)</f>
        <v>0</v>
      </c>
      <c r="C20" s="12">
        <f>VLOOKUP($A20,Dataset!$A$2:$X$40,14,FALSE)</f>
        <v>0</v>
      </c>
      <c r="D20" s="12">
        <f>VLOOKUP($A20,Dataset!$A$2:$X$40,18,FALSE)</f>
        <v>0</v>
      </c>
      <c r="E20" s="12">
        <f>VLOOKUP($A20,Dataset!$A$2:$X$40,20,FALSE)</f>
        <v>0</v>
      </c>
      <c r="F20" s="8">
        <f>VLOOKUP($A20,Dataset!$A$2:$X$40,22,FALSE)</f>
        <v>0</v>
      </c>
      <c r="H20" s="1"/>
      <c r="I20" s="1"/>
    </row>
    <row r="21" spans="1:9" ht="14.4" x14ac:dyDescent="0.3">
      <c r="A21" s="7" t="s">
        <v>57</v>
      </c>
      <c r="B21" s="12">
        <f>VLOOKUP($A21,Dataset!$A$2:$X$40,7,FALSE)</f>
        <v>41.3</v>
      </c>
      <c r="C21" s="12">
        <f>VLOOKUP($A21,Dataset!$A$2:$X$40,14,FALSE)</f>
        <v>124.4</v>
      </c>
      <c r="D21" s="12">
        <f>VLOOKUP($A21,Dataset!$A$2:$X$40,18,FALSE)</f>
        <v>75</v>
      </c>
      <c r="E21" s="12">
        <f>VLOOKUP($A21,Dataset!$A$2:$X$40,20,FALSE)</f>
        <v>151.5</v>
      </c>
      <c r="F21" s="8">
        <f>VLOOKUP($A21,Dataset!$A$2:$X$40,22,FALSE)</f>
        <v>75</v>
      </c>
      <c r="H21" s="1"/>
      <c r="I21" s="1"/>
    </row>
    <row r="22" spans="1:9" ht="14.4" x14ac:dyDescent="0.3">
      <c r="A22" s="7" t="s">
        <v>58</v>
      </c>
      <c r="B22" s="12">
        <f>VLOOKUP($A22,Dataset!$A$2:$X$40,7,FALSE)</f>
        <v>-1</v>
      </c>
      <c r="C22" s="12">
        <f>VLOOKUP($A22,Dataset!$A$2:$X$40,14,FALSE)</f>
        <v>-1</v>
      </c>
      <c r="D22" s="12">
        <f>VLOOKUP($A22,Dataset!$A$2:$X$40,18,FALSE)</f>
        <v>-1</v>
      </c>
      <c r="E22" s="12">
        <f>VLOOKUP($A22,Dataset!$A$2:$X$40,20,FALSE)</f>
        <v>-1</v>
      </c>
      <c r="F22" s="8">
        <f>VLOOKUP($A22,Dataset!$A$2:$X$40,22,FALSE)</f>
        <v>-1</v>
      </c>
      <c r="H22" s="1"/>
      <c r="I22" s="1"/>
    </row>
    <row r="23" spans="1:9" ht="14.4" x14ac:dyDescent="0.3">
      <c r="A23" s="7" t="s">
        <v>31</v>
      </c>
      <c r="B23" s="12">
        <f>VLOOKUP($A23,Dataset!$A$2:$X$40,7,FALSE)</f>
        <v>45</v>
      </c>
      <c r="C23" s="12">
        <f>VLOOKUP($A23,Dataset!$A$2:$X$40,14,FALSE)</f>
        <v>133.4</v>
      </c>
      <c r="D23" s="12">
        <f>VLOOKUP($A23,Dataset!$A$2:$X$40,18,FALSE)</f>
        <v>79.400000000000006</v>
      </c>
      <c r="E23" s="12">
        <f>VLOOKUP($A23,Dataset!$A$2:$X$40,20,FALSE)</f>
        <v>160.9</v>
      </c>
      <c r="F23" s="8">
        <f>VLOOKUP($A23,Dataset!$A$2:$X$40,22,FALSE)</f>
        <v>79.400000000000006</v>
      </c>
      <c r="H23" s="1"/>
      <c r="I23" s="1"/>
    </row>
    <row r="24" spans="1:9" ht="14.4" x14ac:dyDescent="0.3">
      <c r="A24" s="7" t="s">
        <v>32</v>
      </c>
      <c r="B24" s="12">
        <f>VLOOKUP($A24,Dataset!$A$2:$X$40,7,FALSE)</f>
        <v>-1</v>
      </c>
      <c r="C24" s="12">
        <f>VLOOKUP($A24,Dataset!$A$2:$X$40,14,FALSE)</f>
        <v>-1</v>
      </c>
      <c r="D24" s="12">
        <f>VLOOKUP($A24,Dataset!$A$2:$X$40,18,FALSE)</f>
        <v>-1</v>
      </c>
      <c r="E24" s="12">
        <f>VLOOKUP($A24,Dataset!$A$2:$X$40,20,FALSE)</f>
        <v>-1</v>
      </c>
      <c r="F24" s="8">
        <f>VLOOKUP($A24,Dataset!$A$2:$X$40,22,FALSE)</f>
        <v>-1</v>
      </c>
    </row>
    <row r="25" spans="1:9" ht="14.4" x14ac:dyDescent="0.3">
      <c r="A25" s="7" t="s">
        <v>34</v>
      </c>
      <c r="B25" s="12">
        <f>VLOOKUP($A25,Dataset!$A$2:$X$40,7,FALSE)</f>
        <v>43.3</v>
      </c>
      <c r="C25" s="12">
        <f>VLOOKUP($A25,Dataset!$A$2:$X$40,14,FALSE)</f>
        <v>128.6</v>
      </c>
      <c r="D25" s="12">
        <f>VLOOKUP($A25,Dataset!$A$2:$X$40,18,FALSE)</f>
        <v>79.400000000000006</v>
      </c>
      <c r="E25" s="12">
        <f>VLOOKUP($A25,Dataset!$A$2:$X$40,20,FALSE)</f>
        <v>160.9</v>
      </c>
      <c r="F25" s="8">
        <f>VLOOKUP($A25,Dataset!$A$2:$X$40,22,FALSE)</f>
        <v>79.400000000000006</v>
      </c>
    </row>
    <row r="26" spans="1:9" ht="14.4" x14ac:dyDescent="0.3">
      <c r="A26" s="7" t="s">
        <v>37</v>
      </c>
      <c r="B26" s="12">
        <f>VLOOKUP($A26,Dataset!$A$2:$X$40,7,FALSE)</f>
        <v>49.1</v>
      </c>
      <c r="C26" s="12">
        <f>VLOOKUP($A26,Dataset!$A$2:$X$40,14,FALSE)</f>
        <v>146.80000000000001</v>
      </c>
      <c r="D26" s="12">
        <f>VLOOKUP($A26,Dataset!$A$2:$X$40,18,FALSE)</f>
        <v>90.9</v>
      </c>
      <c r="E26" s="12">
        <f>VLOOKUP($A26,Dataset!$A$2:$X$40,20,FALSE)</f>
        <v>183.5</v>
      </c>
      <c r="F26" s="8">
        <f>VLOOKUP($A26,Dataset!$A$2:$X$40,22,FALSE)</f>
        <v>90.9</v>
      </c>
    </row>
    <row r="27" spans="1:9" ht="14.4" x14ac:dyDescent="0.3">
      <c r="A27" s="7" t="s">
        <v>39</v>
      </c>
      <c r="B27" s="12">
        <f>VLOOKUP($A27,Dataset!$A$2:$X$40,7,FALSE)</f>
        <v>51.8</v>
      </c>
      <c r="C27" s="12">
        <f>VLOOKUP($A27,Dataset!$A$2:$X$40,14,FALSE)</f>
        <v>156.4</v>
      </c>
      <c r="D27" s="12">
        <f>VLOOKUP($A27,Dataset!$A$2:$X$40,18,FALSE)</f>
        <v>93.1</v>
      </c>
      <c r="E27" s="12">
        <f>VLOOKUP($A27,Dataset!$A$2:$X$40,20,FALSE)</f>
        <v>188.1</v>
      </c>
      <c r="F27" s="8">
        <f>VLOOKUP($A27,Dataset!$A$2:$X$40,22,FALSE)</f>
        <v>93.1</v>
      </c>
    </row>
    <row r="28" spans="1:9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9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9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conditionalFormatting sqref="I6:I23">
    <cfRule type="cellIs" dxfId="3" priority="4" operator="equal">
      <formula>0</formula>
    </cfRule>
  </conditionalFormatting>
  <conditionalFormatting sqref="I6:I23">
    <cfRule type="cellIs" dxfId="2" priority="3" operator="equal">
      <formula>-1</formula>
    </cfRule>
  </conditionalFormatting>
  <conditionalFormatting sqref="I6:I23">
    <cfRule type="cellIs" dxfId="1" priority="1" operator="equal">
      <formula>0</formula>
    </cfRule>
    <cfRule type="cellIs" dxfId="0" priority="2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54"/>
  <sheetViews>
    <sheetView topLeftCell="A12" zoomScale="70" zoomScaleNormal="70" workbookViewId="0">
      <selection activeCell="L7" sqref="L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9" s="40" customFormat="1" ht="21" x14ac:dyDescent="0.4">
      <c r="A1" s="41" t="s">
        <v>56</v>
      </c>
      <c r="B1" s="40" t="s">
        <v>173</v>
      </c>
    </row>
    <row r="2" spans="1:19" customFormat="1" ht="13.2" x14ac:dyDescent="0.25"/>
    <row r="3" spans="1:19" s="2" customFormat="1" x14ac:dyDescent="0.3">
      <c r="B3" s="1"/>
    </row>
    <row r="4" spans="1:19" s="2" customFormat="1" x14ac:dyDescent="0.3">
      <c r="B4" s="1" t="s">
        <v>151</v>
      </c>
    </row>
    <row r="5" spans="1:19" ht="18" x14ac:dyDescent="0.35">
      <c r="A5" s="42" t="s">
        <v>53</v>
      </c>
      <c r="B5" s="50" t="s">
        <v>180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</row>
    <row r="6" spans="1:19" ht="18" x14ac:dyDescent="0.35">
      <c r="A6" s="42" t="s">
        <v>153</v>
      </c>
      <c r="B6" s="50" t="s">
        <v>181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</row>
    <row r="7" spans="1:19" ht="18" x14ac:dyDescent="0.35">
      <c r="A7" s="42"/>
      <c r="B7" s="39"/>
    </row>
    <row r="9" spans="1:19" ht="23.4" x14ac:dyDescent="0.45">
      <c r="A9" s="18" t="s">
        <v>165</v>
      </c>
      <c r="I9" s="2"/>
      <c r="J9" s="2"/>
    </row>
    <row r="10" spans="1:19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9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9" ht="23.4" x14ac:dyDescent="0.45">
      <c r="A14" s="18" t="s">
        <v>162</v>
      </c>
    </row>
    <row r="15" spans="1:19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9" x14ac:dyDescent="0.3">
      <c r="A16" s="7" t="s">
        <v>121</v>
      </c>
      <c r="B16" s="49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2">
    <mergeCell ref="B5:S5"/>
    <mergeCell ref="B6:S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R22"/>
  <sheetViews>
    <sheetView zoomScaleNormal="100" workbookViewId="0">
      <selection activeCell="I16" sqref="I16"/>
    </sheetView>
  </sheetViews>
  <sheetFormatPr defaultColWidth="11" defaultRowHeight="13.8" x14ac:dyDescent="0.3"/>
  <cols>
    <col min="1" max="1" width="31" style="2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33203125" style="2" bestFit="1" customWidth="1"/>
    <col min="7" max="8" width="14.66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0937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8" ht="21" x14ac:dyDescent="0.4">
      <c r="A1" s="41" t="s">
        <v>85</v>
      </c>
      <c r="B1" s="40" t="s">
        <v>166</v>
      </c>
    </row>
    <row r="2" spans="1:18" ht="18" x14ac:dyDescent="0.35">
      <c r="B2" s="39" t="s">
        <v>177</v>
      </c>
    </row>
    <row r="5" spans="1:18" ht="14.4" x14ac:dyDescent="0.3">
      <c r="B5" s="1" t="s">
        <v>151</v>
      </c>
    </row>
    <row r="6" spans="1:18" ht="14.4" x14ac:dyDescent="0.3">
      <c r="A6" s="3" t="s">
        <v>53</v>
      </c>
      <c r="B6" s="48" t="s">
        <v>178</v>
      </c>
    </row>
    <row r="7" spans="1:18" ht="14.4" x14ac:dyDescent="0.3">
      <c r="A7" s="3" t="s">
        <v>153</v>
      </c>
      <c r="B7" s="52" t="s">
        <v>179</v>
      </c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</row>
    <row r="8" spans="1:18" x14ac:dyDescent="0.3"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</row>
    <row r="9" spans="1:18" x14ac:dyDescent="0.3"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</row>
    <row r="10" spans="1:18" ht="23.4" x14ac:dyDescent="0.45">
      <c r="A10" s="18" t="s">
        <v>162</v>
      </c>
    </row>
    <row r="11" spans="1:18" ht="14.4" x14ac:dyDescent="0.3">
      <c r="A11" s="32" t="s">
        <v>86</v>
      </c>
      <c r="B11" s="17" t="s">
        <v>87</v>
      </c>
      <c r="C11" s="17" t="s">
        <v>88</v>
      </c>
    </row>
    <row r="12" spans="1:18" ht="14.4" x14ac:dyDescent="0.3">
      <c r="A12" s="32">
        <v>44927</v>
      </c>
      <c r="B12" s="17" t="s">
        <v>59</v>
      </c>
      <c r="C12" s="17">
        <v>200</v>
      </c>
    </row>
    <row r="13" spans="1:18" ht="14.4" x14ac:dyDescent="0.3">
      <c r="A13" s="32">
        <v>44928</v>
      </c>
      <c r="B13" s="17" t="s">
        <v>60</v>
      </c>
      <c r="C13" s="17">
        <v>20</v>
      </c>
    </row>
    <row r="14" spans="1:18" ht="14.4" x14ac:dyDescent="0.3">
      <c r="A14" s="32">
        <v>44929</v>
      </c>
      <c r="B14" s="17" t="s">
        <v>61</v>
      </c>
      <c r="C14" s="17">
        <v>50</v>
      </c>
    </row>
    <row r="15" spans="1:18" ht="14.4" x14ac:dyDescent="0.3">
      <c r="A15" s="32">
        <v>44930</v>
      </c>
      <c r="B15" s="17" t="s">
        <v>62</v>
      </c>
      <c r="C15" s="17">
        <v>20</v>
      </c>
    </row>
    <row r="16" spans="1:18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mergeCells count="1">
    <mergeCell ref="B7:R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35"/>
  <sheetViews>
    <sheetView tabSelected="1" zoomScaleNormal="100" workbookViewId="0"/>
  </sheetViews>
  <sheetFormatPr defaultColWidth="11" defaultRowHeight="13.8" x14ac:dyDescent="0.3"/>
  <cols>
    <col min="1" max="1" width="28.1093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/>
    </row>
    <row r="24" spans="1:14" ht="14.4" x14ac:dyDescent="0.3">
      <c r="A24" s="7">
        <v>10100</v>
      </c>
      <c r="B24" s="12">
        <v>10104</v>
      </c>
      <c r="C24" s="43"/>
    </row>
    <row r="25" spans="1:14" ht="14.4" x14ac:dyDescent="0.3">
      <c r="A25" s="7">
        <v>10108</v>
      </c>
      <c r="B25" s="12">
        <v>10102</v>
      </c>
      <c r="C25" s="43"/>
    </row>
    <row r="26" spans="1:14" ht="14.4" x14ac:dyDescent="0.3">
      <c r="A26" s="7">
        <v>10100</v>
      </c>
      <c r="B26" s="12">
        <v>10106</v>
      </c>
      <c r="C26" s="43"/>
    </row>
    <row r="27" spans="1:14" ht="14.4" x14ac:dyDescent="0.3">
      <c r="A27" s="7">
        <v>10108</v>
      </c>
      <c r="B27" s="12">
        <v>10110</v>
      </c>
      <c r="C27" s="43"/>
    </row>
    <row r="28" spans="1:14" ht="14.4" x14ac:dyDescent="0.3">
      <c r="A28" s="7">
        <v>10102</v>
      </c>
      <c r="B28" s="12">
        <v>10104</v>
      </c>
      <c r="C28" s="43"/>
    </row>
    <row r="29" spans="1:14" ht="14.4" x14ac:dyDescent="0.3">
      <c r="A29" s="7">
        <v>10106</v>
      </c>
      <c r="B29" s="12">
        <v>10108</v>
      </c>
      <c r="C29" s="43"/>
    </row>
    <row r="30" spans="1:14" ht="14.4" x14ac:dyDescent="0.3">
      <c r="A30" s="7">
        <v>10102</v>
      </c>
      <c r="B30" s="12">
        <v>10106</v>
      </c>
      <c r="C30" s="43"/>
    </row>
    <row r="31" spans="1:14" ht="14.4" x14ac:dyDescent="0.3">
      <c r="A31" s="7">
        <v>10110</v>
      </c>
      <c r="B31" s="12">
        <v>10114</v>
      </c>
      <c r="C31" s="43"/>
    </row>
    <row r="32" spans="1:14" ht="14.4" x14ac:dyDescent="0.3">
      <c r="A32" s="7">
        <v>10104</v>
      </c>
      <c r="B32" s="12">
        <v>10106</v>
      </c>
      <c r="C32" s="43"/>
    </row>
    <row r="33" spans="1:3" ht="14.4" x14ac:dyDescent="0.3">
      <c r="A33" s="7">
        <v>10110</v>
      </c>
      <c r="B33" s="12">
        <v>10112</v>
      </c>
      <c r="C33" s="43"/>
    </row>
    <row r="34" spans="1:3" ht="14.4" x14ac:dyDescent="0.3">
      <c r="A34" s="7">
        <v>10100</v>
      </c>
      <c r="B34" s="12">
        <v>10114</v>
      </c>
      <c r="C34" s="43"/>
    </row>
    <row r="35" spans="1:3" ht="14.4" x14ac:dyDescent="0.3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MANAV SINGH</cp:lastModifiedBy>
  <dcterms:created xsi:type="dcterms:W3CDTF">2015-02-10T17:33:11Z</dcterms:created>
  <dcterms:modified xsi:type="dcterms:W3CDTF">2023-12-10T17:04:00Z</dcterms:modified>
</cp:coreProperties>
</file>